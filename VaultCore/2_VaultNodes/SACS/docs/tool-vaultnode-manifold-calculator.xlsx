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xr:revisionPtr revIDLastSave="0" documentId="13_ncr:41000001_{3D15E624-D37B-D548-ADA3-89515B7FD34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ain Calculator" sheetId="1" r:id="rId1"/>
    <sheet name="VaultNode Library" sheetId="2" r:id="rId2"/>
    <sheet name="User Guide" sheetId="3" r:id="rId3"/>
    <sheet name="Framework Formulas" sheetId="4" r:id="rId4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1" i="1" l="1"/>
  <c r="B54" i="1"/>
  <c r="B53" i="1"/>
  <c r="B52" i="1"/>
  <c r="B51" i="1"/>
  <c r="B20" i="1"/>
  <c r="B49" i="1"/>
  <c r="B45" i="1"/>
  <c r="B40" i="1"/>
  <c r="B36" i="1"/>
  <c r="B33" i="1"/>
  <c r="B30" i="1"/>
  <c r="B29" i="1"/>
  <c r="B25" i="1"/>
  <c r="B26" i="1"/>
  <c r="B44" i="1"/>
</calcChain>
</file>

<file path=xl/sharedStrings.xml><?xml version="1.0" encoding="utf-8"?>
<sst xmlns="http://schemas.openxmlformats.org/spreadsheetml/2006/main" count="108" uniqueCount="94">
  <si>
    <t>VAULTNODE MANIFOLD INTERPOLATION CALCULATOR</t>
  </si>
  <si>
    <t>Compute knowledge states between discrete VaultNode samples</t>
  </si>
  <si>
    <t>1. SELECT VAULTNODES</t>
  </si>
  <si>
    <t>VaultNode 1:</t>
  </si>
  <si>
    <t>Bible</t>
  </si>
  <si>
    <t>Temporal Coordinate:</t>
  </si>
  <si>
    <t>CE</t>
  </si>
  <si>
    <t>Cultural Context:</t>
  </si>
  <si>
    <t>Mediterranean</t>
  </si>
  <si>
    <t>Cognitive Mode:</t>
  </si>
  <si>
    <t>Consciousness-First</t>
  </si>
  <si>
    <t>(0=Matter, 1=Consciousness)</t>
  </si>
  <si>
    <t>Complexity Level:</t>
  </si>
  <si>
    <t>(0-1 scale)</t>
  </si>
  <si>
    <t>VaultNode 2:</t>
  </si>
  <si>
    <t>Quran</t>
  </si>
  <si>
    <t>Arabian</t>
  </si>
  <si>
    <t>2. SET INTERPOLATION PARAMETER</t>
  </si>
  <si>
    <t>t parameter:</t>
  </si>
  <si>
    <t>(0=VN1, 1=VN2)</t>
  </si>
  <si>
    <t>Interpolated Time:</t>
  </si>
  <si>
    <t>3. FRAMEWORK INTERPOLATION OUTPUTS</t>
  </si>
  <si>
    <t>CONTINUITY SCIENCE (Curvature)</t>
  </si>
  <si>
    <t>Curvature κ(t):</t>
  </si>
  <si>
    <t>(0=flat, 1+=high curvature)</t>
  </si>
  <si>
    <t>Transformation Intensity:</t>
  </si>
  <si>
    <t>ZIPPER THEORY (Lineage Integration)</t>
  </si>
  <si>
    <t>Integration Z(t):</t>
  </si>
  <si>
    <t>(0=pure VN1, 1=pure VN2)</t>
  </si>
  <si>
    <t>Preservation Factor:</t>
  </si>
  <si>
    <t>(both lineages visible)</t>
  </si>
  <si>
    <t>YOUTUBE SCIENCE (Cultivation Stage)</t>
  </si>
  <si>
    <t>Stage C(t):</t>
  </si>
  <si>
    <t>IDENTITY² (Observer Coupling)</t>
  </si>
  <si>
    <t>I² Coupling Strength:</t>
  </si>
  <si>
    <t>(observer intensity)</t>
  </si>
  <si>
    <t>PGR FRAMEWORK (Dimensional State)</t>
  </si>
  <si>
    <t>Planet (Invariant):</t>
  </si>
  <si>
    <t>Abrahamic Monotheism</t>
  </si>
  <si>
    <t>Garden (Process):</t>
  </si>
  <si>
    <t>Rose (Practice):</t>
  </si>
  <si>
    <t>VEF (Energy Cost)</t>
  </si>
  <si>
    <t>Cost_Σ(t):</t>
  </si>
  <si>
    <t>(energy units)</t>
  </si>
  <si>
    <t>Feasibility:</t>
  </si>
  <si>
    <t>4. SYNTHESIZED INTERPOLATION RESULT</t>
  </si>
  <si>
    <t>Historical Period:</t>
  </si>
  <si>
    <t>Key Characteristics:</t>
  </si>
  <si>
    <t>• Transformation tension:</t>
  </si>
  <si>
    <t>• Lineage integration:</t>
  </si>
  <si>
    <t>• Development stage:</t>
  </si>
  <si>
    <t>• Consciousness coupling:</t>
  </si>
  <si>
    <t>5. CONFIDENCE ASSESSMENT</t>
  </si>
  <si>
    <t>Planet Level (Pattern):</t>
  </si>
  <si>
    <t>High</t>
  </si>
  <si>
    <t>Abrahamic continuity clear</t>
  </si>
  <si>
    <t>Garden Level (Process):</t>
  </si>
  <si>
    <t>Moderate</t>
  </si>
  <si>
    <t>Historical records exist</t>
  </si>
  <si>
    <t>Rose Level (Practice):</t>
  </si>
  <si>
    <t>Lower</t>
  </si>
  <si>
    <t>Specific details limited</t>
  </si>
  <si>
    <t>VAULTNODE LIBRARY</t>
  </si>
  <si>
    <t>VaultNode Name</t>
  </si>
  <si>
    <t>Time (CE)</t>
  </si>
  <si>
    <t>Culture</t>
  </si>
  <si>
    <t>Cognitive</t>
  </si>
  <si>
    <t>Complexity</t>
  </si>
  <si>
    <t>Description</t>
  </si>
  <si>
    <t>Torah</t>
  </si>
  <si>
    <t>Hebrew</t>
  </si>
  <si>
    <t>First five books, Mosaic law</t>
  </si>
  <si>
    <t>Buddha's Teachings</t>
  </si>
  <si>
    <t>Indian</t>
  </si>
  <si>
    <t>Four Noble Truths, Eightfold Path</t>
  </si>
  <si>
    <t>Bible (NT)</t>
  </si>
  <si>
    <t>Gospels, Epistles compilation</t>
  </si>
  <si>
    <t>Final revelation</t>
  </si>
  <si>
    <t>Scientific Method</t>
  </si>
  <si>
    <t>European</t>
  </si>
  <si>
    <t>Bacon's empirical framework</t>
  </si>
  <si>
    <t>Relativity</t>
  </si>
  <si>
    <t>Einstein's special relativity</t>
  </si>
  <si>
    <t>Quantum Mechanics</t>
  </si>
  <si>
    <t>Heisenberg, Schrödinger</t>
  </si>
  <si>
    <t>DNA Structure</t>
  </si>
  <si>
    <t>Anglo-American</t>
  </si>
  <si>
    <t>Watson, Crick double helix</t>
  </si>
  <si>
    <t>Distant Relatives</t>
  </si>
  <si>
    <t>Afro-Diaspora</t>
  </si>
  <si>
    <t>Damian Marley &amp; Nas album</t>
  </si>
  <si>
    <t>GPT-3</t>
  </si>
  <si>
    <t>Global/Digital</t>
  </si>
  <si>
    <t>Large language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</si>
</sst>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i/>
      <sz val="10"/>
      <name val="Calibri"/>
    </font>
    <font>
      <b/>
      <sz val="12"/>
      <color rgb="FFFFFFFF"/>
      <name val="Calibri"/>
    </font>
    <font>
      <b/>
      <sz val="11"/>
      <name val="Calibri"/>
    </font>
    <font>
      <b/>
      <sz val="10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5B9BD5"/>
        <bgColor rgb="FF5B9BD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0" borderId="0" xfId="0" applyFont="1"/>
    <xf numFmtId="0" fontId="0" fillId="3" borderId="0" xfId="0" applyFill="1"/>
    <xf numFmtId="0" fontId="0" fillId="4" borderId="0" xfId="0" applyFill="1"/>
    <xf numFmtId="0" fontId="5" fillId="5" borderId="0" xfId="0" applyFont="1" applyFill="1"/>
    <xf numFmtId="0" fontId="1" fillId="0" borderId="0" xfId="0" applyFont="1"/>
    <xf numFmtId="0" fontId="5" fillId="5" borderId="1" xfId="0" applyFont="1" applyFill="1" applyBorder="1"/>
    <xf numFmtId="0" fontId="3" fillId="2" borderId="0" xfId="0" applyFont="1" applyFill="1"/>
    <xf numFmtId="0" fontId="0" fillId="0" borderId="0" xfId="0"/>
    <xf numFmtId="0" fontId="2" fillId="0" borderId="0" xfId="0" applyFont="1" applyAlignment="1">
      <alignment horizontal="center"/>
    </xf>
    <xf numFmtId="0" fontId="0" fillId="4" borderId="0" xfId="0" applyFill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abSelected="1" topLeftCell="A52" workbookViewId="0"/>
  </sheetViews>
  <sheetFormatPr defaultRowHeight="15" x14ac:dyDescent="0.2"/>
  <cols>
    <col min="1" max="1" width="25.01953125" customWidth="1"/>
    <col min="2" max="2" width="20.04296875" customWidth="1"/>
    <col min="3" max="3" width="25.01953125" customWidth="1"/>
    <col min="4" max="4" width="11.97265625" customWidth="1"/>
  </cols>
  <sheetData>
    <row r="1" spans="1:8" ht="18.75" x14ac:dyDescent="0.2">
      <c r="A1" s="11" t="s">
        <v>0</v>
      </c>
      <c r="B1" s="8"/>
      <c r="C1" s="8"/>
      <c r="D1" s="8"/>
      <c r="E1" s="8"/>
      <c r="F1" s="8"/>
      <c r="G1" s="8"/>
      <c r="H1" s="8"/>
    </row>
    <row r="2" spans="1:8" x14ac:dyDescent="0.2">
      <c r="A2" s="9" t="s">
        <v>1</v>
      </c>
      <c r="B2" s="8"/>
      <c r="C2" s="8"/>
      <c r="D2" s="8"/>
      <c r="E2" s="8"/>
      <c r="F2" s="8"/>
      <c r="G2" s="8"/>
      <c r="H2" s="8"/>
    </row>
    <row r="4" spans="1:8" x14ac:dyDescent="0.2">
      <c r="A4" s="7" t="s">
        <v>2</v>
      </c>
      <c r="B4" s="8"/>
      <c r="C4" s="8"/>
      <c r="D4" s="8"/>
      <c r="E4" s="8"/>
      <c r="F4" s="8"/>
      <c r="G4" s="8"/>
      <c r="H4" s="8"/>
    </row>
    <row r="5" spans="1:8" x14ac:dyDescent="0.2">
      <c r="A5" s="1" t="s">
        <v>3</v>
      </c>
      <c r="B5" s="2" t="s">
        <v>4</v>
      </c>
    </row>
    <row r="6" spans="1:8" x14ac:dyDescent="0.2">
      <c r="A6" t="s">
        <v>5</v>
      </c>
      <c r="B6" s="2">
        <v>100</v>
      </c>
      <c r="C6" t="s">
        <v>6</v>
      </c>
    </row>
    <row r="7" spans="1:8" x14ac:dyDescent="0.2">
      <c r="A7" t="s">
        <v>7</v>
      </c>
      <c r="B7" s="2" t="s">
        <v>8</v>
      </c>
    </row>
    <row r="8" spans="1:8" x14ac:dyDescent="0.2">
      <c r="A8" t="s">
        <v>9</v>
      </c>
      <c r="B8" s="2" t="s">
        <v>10</v>
      </c>
      <c r="C8" t="s">
        <v>11</v>
      </c>
      <c r="D8" s="2">
        <v>0.9</v>
      </c>
    </row>
    <row r="9" spans="1:8" x14ac:dyDescent="0.2">
      <c r="A9" t="s">
        <v>12</v>
      </c>
      <c r="B9" s="2">
        <v>0.8</v>
      </c>
      <c r="C9" t="s">
        <v>13</v>
      </c>
    </row>
    <row r="11" spans="1:8" x14ac:dyDescent="0.2">
      <c r="A11" s="1" t="s">
        <v>14</v>
      </c>
      <c r="B11" s="2" t="s">
        <v>15</v>
      </c>
    </row>
    <row r="12" spans="1:8" x14ac:dyDescent="0.2">
      <c r="A12" t="s">
        <v>5</v>
      </c>
      <c r="B12" s="2">
        <v>632</v>
      </c>
      <c r="C12" t="s">
        <v>6</v>
      </c>
    </row>
    <row r="13" spans="1:8" x14ac:dyDescent="0.2">
      <c r="A13" t="s">
        <v>7</v>
      </c>
      <c r="B13" s="2" t="s">
        <v>16</v>
      </c>
    </row>
    <row r="14" spans="1:8" x14ac:dyDescent="0.2">
      <c r="A14" t="s">
        <v>9</v>
      </c>
      <c r="B14" s="2" t="s">
        <v>10</v>
      </c>
      <c r="C14" t="s">
        <v>11</v>
      </c>
      <c r="D14" s="2">
        <v>0.95</v>
      </c>
    </row>
    <row r="15" spans="1:8" x14ac:dyDescent="0.2">
      <c r="A15" t="s">
        <v>12</v>
      </c>
      <c r="B15" s="2">
        <v>0.95</v>
      </c>
      <c r="C15" t="s">
        <v>13</v>
      </c>
    </row>
    <row r="18" spans="1:8" x14ac:dyDescent="0.2">
      <c r="A18" s="7" t="s">
        <v>17</v>
      </c>
      <c r="B18" s="8"/>
      <c r="C18" s="8"/>
      <c r="D18" s="8"/>
      <c r="E18" s="8"/>
      <c r="F18" s="8"/>
      <c r="G18" s="8"/>
      <c r="H18" s="8"/>
    </row>
    <row r="19" spans="1:8" x14ac:dyDescent="0.2">
      <c r="A19" s="1" t="s">
        <v>18</v>
      </c>
      <c r="B19" s="2">
        <v>0.5</v>
      </c>
      <c r="C19" t="s">
        <v>19</v>
      </c>
    </row>
    <row r="20" spans="1:8" x14ac:dyDescent="0.2">
      <c r="A20" t="s">
        <v>20</v>
      </c>
      <c r="B20" s="3" t="e">
        <f>B6+(B13-B6)*B19</f>
        <v>#VALUE!</v>
      </c>
      <c r="C20" t="s">
        <v>6</v>
      </c>
    </row>
    <row r="23" spans="1:8" x14ac:dyDescent="0.2">
      <c r="A23" s="7" t="s">
        <v>21</v>
      </c>
      <c r="B23" s="8"/>
      <c r="C23" s="8"/>
      <c r="D23" s="8"/>
      <c r="E23" s="8"/>
      <c r="F23" s="8"/>
      <c r="G23" s="8"/>
      <c r="H23" s="8"/>
    </row>
    <row r="24" spans="1:8" x14ac:dyDescent="0.2">
      <c r="A24" s="4" t="s">
        <v>22</v>
      </c>
    </row>
    <row r="25" spans="1:8" x14ac:dyDescent="0.2">
      <c r="A25" t="s">
        <v>23</v>
      </c>
      <c r="B25" s="3">
        <f>ABS(D8-D15)*SIN(3.14159*B19)*2</f>
        <v>1.7999999999984158</v>
      </c>
      <c r="C25" t="s">
        <v>24</v>
      </c>
    </row>
    <row r="26" spans="1:8" x14ac:dyDescent="0.2">
      <c r="A26" t="s">
        <v>25</v>
      </c>
      <c r="B26" s="3" t="str">
        <f ca="1">IF(B26&lt;0.3,"Low",IF(B26&lt;0.6,"Moderate","High"))</f>
        <v/>
      </c>
    </row>
    <row r="28" spans="1:8" x14ac:dyDescent="0.2">
      <c r="A28" s="4" t="s">
        <v>26</v>
      </c>
    </row>
    <row r="29" spans="1:8" x14ac:dyDescent="0.2">
      <c r="A29" t="s">
        <v>27</v>
      </c>
      <c r="B29" s="3">
        <f>B19</f>
        <v>0.5</v>
      </c>
      <c r="C29" t="s">
        <v>28</v>
      </c>
    </row>
    <row r="30" spans="1:8" x14ac:dyDescent="0.2">
      <c r="A30" t="s">
        <v>29</v>
      </c>
      <c r="B30" s="3">
        <f>(1-ABS(B19-0.5)*2)*0.95+0.05</f>
        <v>1</v>
      </c>
      <c r="C30" t="s">
        <v>30</v>
      </c>
    </row>
    <row r="32" spans="1:8" x14ac:dyDescent="0.2">
      <c r="A32" s="4" t="s">
        <v>31</v>
      </c>
    </row>
    <row r="33" spans="1:8" x14ac:dyDescent="0.2">
      <c r="A33" t="s">
        <v>32</v>
      </c>
      <c r="B33" s="3" t="str">
        <f>IF(B19&lt;0.2,"Seed",IF(B19&lt;0.4,"Root",IF(B19&lt;0.7,"Stem",IF(B19&lt;0.9,"Bud","Bloom"))))</f>
        <v>Stem</v>
      </c>
    </row>
    <row r="35" spans="1:8" x14ac:dyDescent="0.2">
      <c r="A35" s="4" t="s">
        <v>33</v>
      </c>
    </row>
    <row r="36" spans="1:8" x14ac:dyDescent="0.2">
      <c r="A36" t="s">
        <v>34</v>
      </c>
      <c r="B36" s="3">
        <f>D8*D15*(1+B19*(D15-D8))</f>
        <v>0</v>
      </c>
      <c r="C36" t="s">
        <v>35</v>
      </c>
    </row>
    <row r="38" spans="1:8" x14ac:dyDescent="0.2">
      <c r="A38" s="4" t="s">
        <v>36</v>
      </c>
    </row>
    <row r="39" spans="1:8" x14ac:dyDescent="0.2">
      <c r="A39" t="s">
        <v>37</v>
      </c>
      <c r="B39" s="3" t="s">
        <v>38</v>
      </c>
    </row>
    <row r="40" spans="1:8" x14ac:dyDescent="0.2">
      <c r="A40" t="s">
        <v>39</v>
      </c>
      <c r="B40" s="3" t="str">
        <f>IF(B19&lt;0.5,"Early theological development","Late Antiquity crisis")</f>
        <v>Late Antiquity crisis</v>
      </c>
    </row>
    <row r="41" spans="1:8" x14ac:dyDescent="0.2">
      <c r="A41" t="s">
        <v>40</v>
      </c>
      <c r="B41" s="3" t="str">
        <f>IF(B19&lt;0.3,"Christian liturgy",IF(B19&lt;0.7,"Theological debate","Islamic practice emerging"))</f>
        <v>Theological debate</v>
      </c>
    </row>
    <row r="43" spans="1:8" x14ac:dyDescent="0.2">
      <c r="A43" s="4" t="s">
        <v>41</v>
      </c>
    </row>
    <row r="44" spans="1:8" x14ac:dyDescent="0.2">
      <c r="A44" t="s">
        <v>42</v>
      </c>
      <c r="B44" s="3" t="str">
        <f ca="1">B26*B19*100</f>
        <v/>
      </c>
      <c r="C44" t="s">
        <v>43</v>
      </c>
    </row>
    <row r="45" spans="1:8" x14ac:dyDescent="0.2">
      <c r="A45" t="s">
        <v>44</v>
      </c>
      <c r="B45" s="3" t="str">
        <f>IF(B50&lt;30,"Low cost",IF(B50&lt;60,"Moderate cost","High cost"))</f>
        <v>Low cost</v>
      </c>
    </row>
    <row r="48" spans="1:8" x14ac:dyDescent="0.2">
      <c r="A48" s="7" t="s">
        <v>45</v>
      </c>
      <c r="B48" s="8"/>
      <c r="C48" s="8"/>
      <c r="D48" s="8"/>
      <c r="E48" s="8"/>
      <c r="F48" s="8"/>
      <c r="G48" s="8"/>
      <c r="H48" s="8"/>
    </row>
    <row r="49" spans="1:8" x14ac:dyDescent="0.2">
      <c r="A49" t="s">
        <v>46</v>
      </c>
      <c r="B49" s="10" t="e">
        <f>IF(B20&lt;300,"Early Church",IF(B20&lt;500,"Late Antiquity","Pre-Islamic Arabia"))</f>
        <v>#VALUE!</v>
      </c>
      <c r="C49" s="8"/>
      <c r="D49" s="8"/>
    </row>
    <row r="50" spans="1:8" x14ac:dyDescent="0.2">
      <c r="A50" t="s">
        <v>47</v>
      </c>
    </row>
    <row r="51" spans="1:8" x14ac:dyDescent="0.2">
      <c r="A51" t="s">
        <v>48</v>
      </c>
      <c r="B51" s="3">
        <f>B27</f>
        <v>0</v>
      </c>
    </row>
    <row r="52" spans="1:8" x14ac:dyDescent="0.2">
      <c r="A52" t="s">
        <v>49</v>
      </c>
      <c r="B52" s="3" t="str">
        <f>TEXT(B31*100,"0")&amp;"% complete"</f>
        <v>0% complete</v>
      </c>
    </row>
    <row r="53" spans="1:8" x14ac:dyDescent="0.2">
      <c r="A53" t="s">
        <v>50</v>
      </c>
      <c r="B53" s="3">
        <f>B37</f>
        <v>0</v>
      </c>
    </row>
    <row r="54" spans="1:8" x14ac:dyDescent="0.2">
      <c r="A54" t="s">
        <v>51</v>
      </c>
      <c r="B54" s="3" t="str">
        <f>TEXT(B41,"0.00")</f>
        <v>Theological debate</v>
      </c>
    </row>
    <row r="57" spans="1:8" x14ac:dyDescent="0.2">
      <c r="A57" s="7" t="s">
        <v>52</v>
      </c>
      <c r="B57" s="8"/>
      <c r="C57" s="8"/>
      <c r="D57" s="8"/>
      <c r="E57" s="8"/>
      <c r="F57" s="8"/>
      <c r="G57" s="8"/>
      <c r="H57" s="8"/>
    </row>
    <row r="58" spans="1:8" x14ac:dyDescent="0.2">
      <c r="A58" t="s">
        <v>53</v>
      </c>
      <c r="B58" s="3" t="s">
        <v>54</v>
      </c>
      <c r="C58" t="s">
        <v>55</v>
      </c>
    </row>
    <row r="59" spans="1:8" x14ac:dyDescent="0.2">
      <c r="A59" t="s">
        <v>56</v>
      </c>
      <c r="B59" s="3" t="s">
        <v>57</v>
      </c>
      <c r="C59" t="s">
        <v>58</v>
      </c>
    </row>
    <row r="60" spans="1:8" x14ac:dyDescent="0.2">
      <c r="A60" t="s">
        <v>59</v>
      </c>
      <c r="B60" s="3" t="s">
        <v>60</v>
      </c>
      <c r="C60" t="s">
        <v>61</v>
      </c>
    </row>
  </sheetData>
  <mergeCells count="8">
    <mergeCell ref="A1:H1"/>
    <mergeCell ref="A23:H23"/>
    <mergeCell ref="A18:H18"/>
    <mergeCell ref="A4:H4"/>
    <mergeCell ref="A48:H48"/>
    <mergeCell ref="A57:H57"/>
    <mergeCell ref="A2:H2"/>
    <mergeCell ref="B49:D4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/>
  </sheetViews>
  <sheetFormatPr defaultRowHeight="15" x14ac:dyDescent="0.2"/>
  <cols>
    <col min="1" max="1" width="20.04296875" customWidth="1"/>
    <col min="2" max="2" width="11.97265625" customWidth="1"/>
    <col min="3" max="3" width="18.0234375" customWidth="1"/>
    <col min="4" max="5" width="11.97265625" customWidth="1"/>
    <col min="6" max="6" width="39.953125" customWidth="1"/>
  </cols>
  <sheetData>
    <row r="1" spans="1:6" ht="18.75" x14ac:dyDescent="0.25">
      <c r="A1" s="5" t="s">
        <v>62</v>
      </c>
    </row>
    <row r="3" spans="1:6" x14ac:dyDescent="0.2">
      <c r="A3" s="6" t="s">
        <v>63</v>
      </c>
      <c r="B3" s="6" t="s">
        <v>64</v>
      </c>
      <c r="C3" s="6" t="s">
        <v>65</v>
      </c>
      <c r="D3" s="6" t="s">
        <v>66</v>
      </c>
      <c r="E3" s="6" t="s">
        <v>67</v>
      </c>
      <c r="F3" s="6" t="s">
        <v>68</v>
      </c>
    </row>
    <row r="4" spans="1:6" x14ac:dyDescent="0.2">
      <c r="A4" t="s">
        <v>69</v>
      </c>
      <c r="B4">
        <v>-1200</v>
      </c>
      <c r="C4" t="s">
        <v>70</v>
      </c>
      <c r="D4">
        <v>0.85</v>
      </c>
      <c r="E4">
        <v>0.75</v>
      </c>
      <c r="F4" t="s">
        <v>71</v>
      </c>
    </row>
    <row r="5" spans="1:6" x14ac:dyDescent="0.2">
      <c r="A5" t="s">
        <v>72</v>
      </c>
      <c r="B5">
        <v>-500</v>
      </c>
      <c r="C5" t="s">
        <v>73</v>
      </c>
      <c r="D5">
        <v>0.95</v>
      </c>
      <c r="E5">
        <v>0.8</v>
      </c>
      <c r="F5" t="s">
        <v>74</v>
      </c>
    </row>
    <row r="6" spans="1:6" x14ac:dyDescent="0.2">
      <c r="A6" t="s">
        <v>75</v>
      </c>
      <c r="B6">
        <v>100</v>
      </c>
      <c r="C6" t="s">
        <v>8</v>
      </c>
      <c r="D6">
        <v>0.9</v>
      </c>
      <c r="E6">
        <v>0.8</v>
      </c>
      <c r="F6" t="s">
        <v>76</v>
      </c>
    </row>
    <row r="7" spans="1:6" x14ac:dyDescent="0.2">
      <c r="A7" t="s">
        <v>15</v>
      </c>
      <c r="B7">
        <v>632</v>
      </c>
      <c r="C7" t="s">
        <v>16</v>
      </c>
      <c r="D7">
        <v>0.95</v>
      </c>
      <c r="E7">
        <v>0.95</v>
      </c>
      <c r="F7" t="s">
        <v>77</v>
      </c>
    </row>
    <row r="8" spans="1:6" x14ac:dyDescent="0.2">
      <c r="A8" t="s">
        <v>78</v>
      </c>
      <c r="B8">
        <v>1620</v>
      </c>
      <c r="C8" t="s">
        <v>79</v>
      </c>
      <c r="D8">
        <v>0.2</v>
      </c>
      <c r="E8">
        <v>0.85</v>
      </c>
      <c r="F8" t="s">
        <v>80</v>
      </c>
    </row>
    <row r="9" spans="1:6" x14ac:dyDescent="0.2">
      <c r="A9" t="s">
        <v>81</v>
      </c>
      <c r="B9">
        <v>1905</v>
      </c>
      <c r="C9" t="s">
        <v>79</v>
      </c>
      <c r="D9">
        <v>0.3</v>
      </c>
      <c r="E9">
        <v>0.9</v>
      </c>
      <c r="F9" t="s">
        <v>82</v>
      </c>
    </row>
    <row r="10" spans="1:6" x14ac:dyDescent="0.2">
      <c r="A10" t="s">
        <v>83</v>
      </c>
      <c r="B10">
        <v>1925</v>
      </c>
      <c r="C10" t="s">
        <v>79</v>
      </c>
      <c r="D10">
        <v>0.4</v>
      </c>
      <c r="E10">
        <v>0.95</v>
      </c>
      <c r="F10" t="s">
        <v>84</v>
      </c>
    </row>
    <row r="11" spans="1:6" x14ac:dyDescent="0.2">
      <c r="A11" t="s">
        <v>85</v>
      </c>
      <c r="B11">
        <v>1953</v>
      </c>
      <c r="C11" t="s">
        <v>86</v>
      </c>
      <c r="D11">
        <v>0.15</v>
      </c>
      <c r="E11">
        <v>0.9</v>
      </c>
      <c r="F11" t="s">
        <v>87</v>
      </c>
    </row>
    <row r="12" spans="1:6" x14ac:dyDescent="0.2">
      <c r="A12" t="s">
        <v>88</v>
      </c>
      <c r="B12">
        <v>2010</v>
      </c>
      <c r="C12" t="s">
        <v>89</v>
      </c>
      <c r="D12">
        <v>0.85</v>
      </c>
      <c r="E12">
        <v>0.85</v>
      </c>
      <c r="F12" t="s">
        <v>90</v>
      </c>
    </row>
    <row r="13" spans="1:6" x14ac:dyDescent="0.2">
      <c r="A13" t="s">
        <v>91</v>
      </c>
      <c r="B13">
        <v>2020</v>
      </c>
      <c r="C13" t="s">
        <v>92</v>
      </c>
      <c r="D13">
        <v>0.5</v>
      </c>
      <c r="E13">
        <v>0.9</v>
      </c>
      <c r="F13" t="s">
        <v>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"/>
  <sheetData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 Calculator</vt:lpstr>
      <vt:lpstr>VaultNode Library</vt:lpstr>
      <vt:lpstr>User Guide</vt:lpstr>
      <vt:lpstr>Framework Formulas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2025-10-26T17:09:05Z</dcterms:created>
  <dcterms:modified xsi:type="dcterms:W3CDTF">2025-10-26T17:09:05Z</dcterms:modified>
</cp:coreProperties>
</file>